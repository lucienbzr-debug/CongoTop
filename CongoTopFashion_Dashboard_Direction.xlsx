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zr\Desktop\FORMATION CLAUDE &amp; AI BY AKSANTE\Congo Top\"/>
    </mc:Choice>
  </mc:AlternateContent>
  <xr:revisionPtr revIDLastSave="0" documentId="13_ncr:1_{5802F26F-AE35-4611-B9C6-F48F7D3D8369}" xr6:coauthVersionLast="47" xr6:coauthVersionMax="47" xr10:uidLastSave="{00000000-0000-0000-0000-000000000000}"/>
  <bookViews>
    <workbookView xWindow="1920" yWindow="1920" windowWidth="17280" windowHeight="8880" activeTab="2" xr2:uid="{870C01EA-6610-49B9-86F4-E230F431FF58}"/>
  </bookViews>
  <sheets>
    <sheet name="Tableau_de_Bord" sheetId="1" r:id="rId1"/>
    <sheet name="Resume_Executif" sheetId="3" r:id="rId2"/>
    <sheet name="Recommandations" sheetId="2" r:id="rId3"/>
  </sheets>
  <definedNames>
    <definedName name="_xlnm._FilterDatabase" localSheetId="2" hidden="1">Recommandations!$A$3:$F$3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<sst xmlns="http://schemas.openxmlformats.org/spreadsheetml/2006/main" count="233" uniqueCount="181">
  <si>
    <t>CONGO TOP FASHION</t>
  </si>
  <si>
    <t>Tableau de bord direction - Bilan 2021-2025 et perspectives 2026</t>
  </si>
  <si>
    <t>CA Realise 2021-2025 (USD)</t>
  </si>
  <si>
    <t>2 385 826</t>
  </si>
  <si>
    <t>Benefice Realise (USD)</t>
  </si>
  <si>
    <t>686 050</t>
  </si>
  <si>
    <t>Marge Nette Reelle</t>
  </si>
  <si>
    <t>Nb Clients</t>
  </si>
  <si>
    <t>2 000</t>
  </si>
  <si>
    <t>Nb Commandes</t>
  </si>
  <si>
    <t>15 000</t>
  </si>
  <si>
    <t>Prevision CA 2026</t>
  </si>
  <si>
    <t>743k - 851k USD</t>
  </si>
  <si>
    <t>Annee</t>
  </si>
  <si>
    <t>CA_Realise</t>
  </si>
  <si>
    <t>Benefice_Realise</t>
  </si>
  <si>
    <t>Marge_Nette_Reelle</t>
  </si>
  <si>
    <t>Marge_Pct</t>
  </si>
  <si>
    <t>Nb_Commandes</t>
  </si>
  <si>
    <t>Panier_Moyen</t>
  </si>
  <si>
    <t>Taux_Annulation_Pct</t>
  </si>
  <si>
    <t>Taux_Retour_Pct</t>
  </si>
  <si>
    <t>Croissance_CA_Pct</t>
  </si>
  <si>
    <t>Canal_Vente</t>
  </si>
  <si>
    <t>Marge_Nette_Reelle_Pct</t>
  </si>
  <si>
    <t>Boutique Physique</t>
  </si>
  <si>
    <t>Facebook</t>
  </si>
  <si>
    <t>Site E-commerce</t>
  </si>
  <si>
    <t>WhatsApp Business</t>
  </si>
  <si>
    <t>Instagram</t>
  </si>
  <si>
    <t>Commercial Terrain</t>
  </si>
  <si>
    <t>Segment_RFM</t>
  </si>
  <si>
    <t>Nb_Clients</t>
  </si>
  <si>
    <t>Pct_Clients</t>
  </si>
  <si>
    <t>CA_Genere</t>
  </si>
  <si>
    <t>Pct_CA</t>
  </si>
  <si>
    <t>CLV_Moyen</t>
  </si>
  <si>
    <t>Clients Perdus</t>
  </si>
  <si>
    <t>Clients Réguliers</t>
  </si>
  <si>
    <t>Clients Fidèles</t>
  </si>
  <si>
    <t>Champions</t>
  </si>
  <si>
    <t>Sans Achat</t>
  </si>
  <si>
    <t>Nouveaux Clients</t>
  </si>
  <si>
    <t>Clients à Risque</t>
  </si>
  <si>
    <t>ID_Boutique</t>
  </si>
  <si>
    <t>Nom_Boutique</t>
  </si>
  <si>
    <t>Objectif_Total_USD</t>
  </si>
  <si>
    <t>Realise_Total_USD</t>
  </si>
  <si>
    <t>Taux_Realisation_Moyen_Pct</t>
  </si>
  <si>
    <t>BTQ12</t>
  </si>
  <si>
    <t>GongoTopFashion E-commerce</t>
  </si>
  <si>
    <t>BTQ02</t>
  </si>
  <si>
    <t>GongoTopFashion Kinshasa Limete</t>
  </si>
  <si>
    <t>BTQ04</t>
  </si>
  <si>
    <t>GongoTopFashion Kinshasa Masina</t>
  </si>
  <si>
    <t>BTQ08</t>
  </si>
  <si>
    <t>GongoTopFashion Bukavu Ibanda</t>
  </si>
  <si>
    <t>BTQ09</t>
  </si>
  <si>
    <t>GongoTopFashion Matadi Matadi</t>
  </si>
  <si>
    <t>BTQ03</t>
  </si>
  <si>
    <t>GongoTopFashion Kinshasa Ngaliema</t>
  </si>
  <si>
    <t>BTQ11</t>
  </si>
  <si>
    <t>GongoTopFashion Kolwezi Manika</t>
  </si>
  <si>
    <t>BTQ05</t>
  </si>
  <si>
    <t>GongoTopFashion Kinshasa Kintambo</t>
  </si>
  <si>
    <t>BTQ07</t>
  </si>
  <si>
    <t>GongoTopFashion Goma Goma</t>
  </si>
  <si>
    <t>BTQ10</t>
  </si>
  <si>
    <t>GongoTopFashion Mbuji-Mayi Dibindi</t>
  </si>
  <si>
    <t>BTQ06</t>
  </si>
  <si>
    <t>GongoTopFashion Lubumbashi Lubumbashi</t>
  </si>
  <si>
    <t>BTQ01</t>
  </si>
  <si>
    <t>GongoTopFashion Kinshasa Gombe</t>
  </si>
  <si>
    <t>Statut_Stock</t>
  </si>
  <si>
    <t>Nb_Lignes_Stock</t>
  </si>
  <si>
    <t>Pct</t>
  </si>
  <si>
    <t>Valeur_Stock_USD</t>
  </si>
  <si>
    <t>Normal</t>
  </si>
  <si>
    <t>Surstock</t>
  </si>
  <si>
    <t>Faible</t>
  </si>
  <si>
    <t>Rupture</t>
  </si>
  <si>
    <t>CONGO TOP FASHION - RECOMMANDATIONS STRATEGIQUES PRIORISEES</t>
  </si>
  <si>
    <t>Priorite</t>
  </si>
  <si>
    <t>Theme</t>
  </si>
  <si>
    <t>Constat</t>
  </si>
  <si>
    <t>Impact_Chiffre</t>
  </si>
  <si>
    <t>Recommandation</t>
  </si>
  <si>
    <t>Action_Concrete</t>
  </si>
  <si>
    <t>1 - Haute</t>
  </si>
  <si>
    <t>Gestion des stocks</t>
  </si>
  <si>
    <t>23.2% des lignes de stock (1392/6000) sont en surstock</t>
  </si>
  <si>
    <t>4 773 794 USD de capital immobilise - plus que tout le stock Normal (3 230 910 USD)</t>
  </si>
  <si>
    <t>Lancer un audit des references en surstock et un plan de destockage cible (promotions, transferts entre boutiques) avant d'investir dans de nouveaux achats</t>
  </si>
  <si>
    <t>Identifier les 1392 references en surstock (feuille Stocks_Statut, Phase 5), prioriser par valeur immobilisee, definir un objectif de reduction a 3 mois</t>
  </si>
  <si>
    <t>Pilotage commercial</t>
  </si>
  <si>
    <t>Aucune des 12 boutiques n'atteint son objectif commercial (3.3% a 30.4% de realisation)</t>
  </si>
  <si>
    <t>Ecart uniforme sur 100% des entites - indicateur de pilotage actuellement inutilisable</t>
  </si>
  <si>
    <t>Recalibrer la methode de fixation des objectifs commerciaux avant de les reutiliser pour le pilotage ou le calcul des primes</t>
  </si>
  <si>
    <t>Reconstruire les objectifs a partir du CA reel des 12 derniers mois + une cible de croissance realiste (ex. +15-20%), pas d'une projection deconnectee de l'historique</t>
  </si>
  <si>
    <t>Retention client</t>
  </si>
  <si>
    <t>44.4% des clients ne sont pas actifs (16.35% Perdus, 15.2% Inactifs, 12.85% jamais actifs) ; chaque cohorte perd ~18% de son CA par an</t>
  </si>
  <si>
    <t>213 979 USD de CA sur clients Perdus + 257 clients jamais convertis ; cohorte 2021 ne genere plus que 43.9% de son CA initial 4 ans apres</t>
  </si>
  <si>
    <t>Mettre en place un suivi de retention par cohorte en routine et tester des actions de reactivation ciblees sur les cohortes matures (2021-2022) et les clients Inactifs</t>
  </si>
  <si>
    <t>Campagne de reactivation ciblee (offre personnalisee) sur les 304 clients Inactifs et les 257 clients Sans Achat en priorite (CLV potentiel le plus vite recuperable)</t>
  </si>
  <si>
    <t>Allocation budget marketing</t>
  </si>
  <si>
    <t>Le canal au meilleur ROI publicitaire pondere (WhatsApp Business, 865%) recrute les clients a la CLV la plus faible (1164 USD, 11.3% Champions)</t>
  </si>
  <si>
    <t>Paradoxe ROI vs qualite client sur au moins 1352127 USD de CA genere par les canaux digitaux mesures</t>
  </si>
  <si>
    <t>Ne plus arbitrer le budget marketing sur le seul ROI court terme. Integrer un indicateur de qualite du client acquis (CLV, % conversion en Champion a 12 mois) dans l'evaluation de chaque canal</t>
  </si>
  <si>
    <t>Ponderer les decisions budgetaires par un score combine ROI x CLV_moyen_acquis, pas par le ROI seul. Reevaluer l'allocation Facebook/Instagram (CLV superieure) vs WhatsApp</t>
  </si>
  <si>
    <t>2 - Moyenne</t>
  </si>
  <si>
    <t>Qualite produit / retours</t>
  </si>
  <si>
    <t>Probleme de Taille est le 1er motif de retour (44.1% des retours, 47% du montant rembourse)</t>
  </si>
  <si>
    <t>30 449.71 USD rembourses pour ce seul motif</t>
  </si>
  <si>
    <t>Ameliorer les fiches produit et guides de tailles avant d'investir dans le controle qualite - action a faible cout et impact rapide</t>
  </si>
  <si>
    <t>Auditer les fiches produit des categories a fort volume (Vetements Homme/Femme) et ajouter un guide de tailles standardise avec mesures precises</t>
  </si>
  <si>
    <t>Rentabilite canal</t>
  </si>
  <si>
    <t>Les canaux digitaux degagent une marge nette reelle 4 a 6 points inferieure au Physique/Terrain (20.9%-22.1% vs 26.2%-26.6%)</t>
  </si>
  <si>
    <t>Sur 1352127 USD de CA digital, chaque point de marge recupere represente environ 13521 USD de benefice net</t>
  </si>
  <si>
    <t>Prioriser la reduction des couts logistiques et du taux de retour sur les canaux digitaux plutot que de ralentir leur croissance (qui reste positive pour le volume)</t>
  </si>
  <si>
    <t>Renegocier les couts de livraison avec les transporteurs (Logistique Interne GTF, Partenaire Express Kin, Partenaire National RDC ont des performances tres proches - marge de negociation possible) et reduire le taux de retour digital</t>
  </si>
  <si>
    <t>Anomalie operationnelle - vente sans vendeur</t>
  </si>
  <si>
    <t>271 commandes Boutique Physique n'ont pas de vendeur enregistre</t>
  </si>
  <si>
    <t>Ecart de saisie au point de vente, impact sur le suivi de performance individuelle des vendeurs</t>
  </si>
  <si>
    <t>Investiguer avec les responsables de boutique - ne pas fabriquer un ID vendeur fictif dans les donnees</t>
  </si>
  <si>
    <t>Audit terminal de vente sur les boutiques concernees, rappel de procedure de saisie systematique du vendeur</t>
  </si>
  <si>
    <t>Fiabilite fournisseurs</t>
  </si>
  <si>
    <t>Le score de fiabilite declare ne correle pas toujours avec le taux de retard reel mesure (ex. fournisseur note 0.98 mais 26.6% de retard reel)</t>
  </si>
  <si>
    <t>57 fournisseurs actifs, decisions d'achat potentiellement biaisees par un indicateur peu fiable</t>
  </si>
  <si>
    <t>Utiliser le taux de retard mesure sur l'historique Achats_Fournisseurs comme critere principal de selection, en complement du score declare</t>
  </si>
  <si>
    <t>Publier un classement fournisseurs base sur le taux de retard reel (feuille Fournisseurs_Performance, Phase 5) et l'integrer aux decisions d'approvisionnement</t>
  </si>
  <si>
    <t>3 - Basse</t>
  </si>
  <si>
    <t>Planification saisonniere</t>
  </si>
  <si>
    <t>Decembre pese 1.66x la moyenne mensuelle, avril/mai seulement 0.77-0.79x</t>
  </si>
  <si>
    <t>Ecart de pres de 2x entre le mois le plus fort et les plus faibles</t>
  </si>
  <si>
    <t>Caler les objectifs mensuels, les niveaux de stock et les campagnes promotionnelles sur l'indice de saisonnalite plutot que sur une repartition uniforme</t>
  </si>
  <si>
    <t>Utiliser la feuille Saisonnalite (Phase 3) pour ponderer les objectifs mensuels 2026 issus de la prevision globale (Phase 6)</t>
  </si>
  <si>
    <t>Developpement categorie</t>
  </si>
  <si>
    <t>Accessoires de Mode a la meilleure marge (35.9%) de toutes les categories malgre un CA modeste (109 001 USD, 8e categorie sur 11)</t>
  </si>
  <si>
    <t>Marge unitaire superieure de 5 a 12 points aux autres categories</t>
  </si>
  <si>
    <t>Explorer un developpement cible de la categorie Accessoires de Mode (marketing, largeur de gamme) - potentiel de rentabilite sous-exploite</t>
  </si>
  <si>
    <t>Test d'une campagne dediee Accessoires de Mode sur les canaux a forte CLV (Facebook, Instagram) et suivi du delta de marge</t>
  </si>
  <si>
    <t>Produits dormants</t>
  </si>
  <si>
    <t>3 des 700 produits actifs n'ont jamais ete vendus sur la periode 2021-2025</t>
  </si>
  <si>
    <t>Stock immobilise sans rotation, cout d'opportunite</t>
  </si>
  <si>
    <t>Auditer ces 3 references (positionnement prix, visibilite, pertinence de la gamme) et decider deferencement ou repositionnement</t>
  </si>
  <si>
    <t>Revue trimestrielle des produits a rotation nulle depuis plus de 12 mois, intergree au processus de gestion de gamme</t>
  </si>
  <si>
    <t>Partage de bonnes pratiques commerciales</t>
  </si>
  <si>
    <t>Un noyau de vendeurs (Lukusa Benedicte, Nzuzi Ruth, Lukusa Yvette) genere un volume de commandes 2 a 3x superieur a la moyenne</t>
  </si>
  <si>
    <t>Ecart de performance individuelle significatif au sein des equipes de vente</t>
  </si>
  <si>
    <t>Organiser un partage de pratiques commerciales du noyau de top performeurs vers le reste des equipes</t>
  </si>
  <si>
    <t>Sessions de coaching interne trimestrielles animees par les 3-5 meilleurs vendeurs identifies en Phase 5</t>
  </si>
  <si>
    <t>CONGO TOP FASHION - RESUME EXECUTIF (2021-2025)</t>
  </si>
  <si>
    <t>Indicateur</t>
  </si>
  <si>
    <t>Valeur</t>
  </si>
  <si>
    <t>CA Realise Total 2021-2025 (USD)</t>
  </si>
  <si>
    <t>Benefice Realise Total 2021-2025 (USD)</t>
  </si>
  <si>
    <t>Marge (Benefice Realise / CA Realise)</t>
  </si>
  <si>
    <t>Marge Nette Reelle Totale apres logistique et retours (USD)</t>
  </si>
  <si>
    <t>Marge Nette Reelle (% du CA)</t>
  </si>
  <si>
    <t>Croissance CA 2025 vs 2021</t>
  </si>
  <si>
    <t>x3.1</t>
  </si>
  <si>
    <t>Croissance CA 2025 vs 2024 (deceleration continue)</t>
  </si>
  <si>
    <t>Nombre de clients</t>
  </si>
  <si>
    <t>Dont Clients Champions (VIP)</t>
  </si>
  <si>
    <t>341 (17.1% des clients - 49.2% du CA)</t>
  </si>
  <si>
    <t>Nombre de commandes</t>
  </si>
  <si>
    <t>Nombre de boutiques physiques</t>
  </si>
  <si>
    <t>Panier moyen (hors commandes annulees)</t>
  </si>
  <si>
    <t>169.58 USD</t>
  </si>
  <si>
    <t>Prevision CA 2026 (fourchette retenue)</t>
  </si>
  <si>
    <t>743000 - 851000 USD</t>
  </si>
  <si>
    <t>Capital immobilise en surstock</t>
  </si>
  <si>
    <t>4773794 USD (23.2% des lignes de stock)</t>
  </si>
  <si>
    <t>Taux de clients non actifs (Perdus + Inactifs + Jamais actifs)</t>
  </si>
  <si>
    <t>Nombre de recommandations formulees (Phase 7)</t>
  </si>
  <si>
    <t>12 (4 Haute priorite / 4 Moyenne / 4 Basse)</t>
  </si>
  <si>
    <t>Annee 2021</t>
  </si>
  <si>
    <t>Annee 2022</t>
  </si>
  <si>
    <t>Annee 2023</t>
  </si>
  <si>
    <t>Annee 2024</t>
  </si>
  <si>
    <t>Annee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</si>
</sst>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80808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i/>
      <sz val="13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E2F1"/>
        <bgColor indexed="64"/>
      </patternFill>
    </fill>
    <fill>
      <patternFill patternType="solid">
        <fgColor rgb="FFF6D5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4" borderId="0" xfId="0" applyFont="1" applyFill="1" applyAlignment="1">
      <alignment vertical="top" wrapText="1"/>
    </xf>
    <xf numFmtId="0" fontId="9" fillId="5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7" fillId="4" borderId="0" xfId="0" applyFont="1" applyFill="1"/>
    <xf numFmtId="10" fontId="4" fillId="0" borderId="0" xfId="0" applyNumberFormat="1" applyFont="1"/>
    <xf numFmtId="0" fontId="7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D"/>
              <a:t>CA Realise par canal de vente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Tableau_de_Bord!$BI$30</c:f>
              <c:strCache>
                <c:ptCount val="1"/>
                <c:pt idx="0">
                  <c:v>CA_Realise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Tableau_de_Bord!$BH$31:$BH$36</c:f>
              <c:strCache>
                <c:ptCount val="6"/>
                <c:pt idx="0">
                  <c:v>Boutique Physique</c:v>
                </c:pt>
                <c:pt idx="1">
                  <c:v>Facebook</c:v>
                </c:pt>
                <c:pt idx="2">
                  <c:v>Site E-commerce</c:v>
                </c:pt>
                <c:pt idx="3">
                  <c:v>WhatsApp Business</c:v>
                </c:pt>
                <c:pt idx="4">
                  <c:v>Instagram</c:v>
                </c:pt>
                <c:pt idx="5">
                  <c:v>Commercial Terrain</c:v>
                </c:pt>
              </c:strCache>
            </c:strRef>
          </c:cat>
          <c:val>
            <c:numRef>
              <c:f>Tableau_de_Bord!$BI$31:$BI$36</c:f>
              <c:numCache>
                <c:formatCode>General</c:formatCode>
                <c:ptCount val="6"/>
                <c:pt idx="0">
                  <c:v>914175.34</c:v>
                </c:pt>
                <c:pt idx="1">
                  <c:v>361576.73</c:v>
                </c:pt>
                <c:pt idx="2">
                  <c:v>334985.78000000003</c:v>
                </c:pt>
                <c:pt idx="3">
                  <c:v>334907.7</c:v>
                </c:pt>
                <c:pt idx="4">
                  <c:v>320656.83</c:v>
                </c:pt>
                <c:pt idx="5">
                  <c:v>119523.88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2-47E4-AAD1-FD68BB13E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1517279"/>
        <c:axId val="258524431"/>
      </c:barChart>
      <c:catAx>
        <c:axId val="191151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8524431"/>
        <c:crosses val="autoZero"/>
        <c:auto val="1"/>
        <c:lblAlgn val="ctr"/>
        <c:lblOffset val="100"/>
        <c:noMultiLvlLbl val="0"/>
      </c:catAx>
      <c:valAx>
        <c:axId val="25852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151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D"/>
              <a:t>CA par segment RFM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Tableau_de_Bord!$BL$30</c:f>
              <c:strCache>
                <c:ptCount val="1"/>
                <c:pt idx="0">
                  <c:v>CA_Genere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85-46EC-BDA9-506D31FA0A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85-46EC-BDA9-506D31FA0A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85-46EC-BDA9-506D31FA0A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85-46EC-BDA9-506D31FA0A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785-46EC-BDA9-506D31FA0A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785-46EC-BDA9-506D31FA0A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785-46EC-BDA9-506D31FA0A67}"/>
              </c:ext>
            </c:extLst>
          </c:dPt>
          <c:cat>
            <c:strRef>
              <c:f>Tableau_de_Bord!$BK$31:$BK$37</c:f>
              <c:strCache>
                <c:ptCount val="7"/>
                <c:pt idx="0">
                  <c:v>Clients Perdus</c:v>
                </c:pt>
                <c:pt idx="1">
                  <c:v>Clients Réguliers</c:v>
                </c:pt>
                <c:pt idx="2">
                  <c:v>Clients Fidèles</c:v>
                </c:pt>
                <c:pt idx="3">
                  <c:v>Champions</c:v>
                </c:pt>
                <c:pt idx="4">
                  <c:v>Sans Achat</c:v>
                </c:pt>
                <c:pt idx="5">
                  <c:v>Nouveaux Clients</c:v>
                </c:pt>
                <c:pt idx="6">
                  <c:v>Clients à Risque</c:v>
                </c:pt>
              </c:strCache>
            </c:strRef>
          </c:cat>
          <c:val>
            <c:numRef>
              <c:f>Tableau_de_Bord!$BL$31:$BL$37</c:f>
              <c:numCache>
                <c:formatCode>General</c:formatCode>
                <c:ptCount val="7"/>
                <c:pt idx="0">
                  <c:v>127881.78</c:v>
                </c:pt>
                <c:pt idx="1">
                  <c:v>231975.73</c:v>
                </c:pt>
                <c:pt idx="2">
                  <c:v>669692.86</c:v>
                </c:pt>
                <c:pt idx="3">
                  <c:v>1174512.79</c:v>
                </c:pt>
                <c:pt idx="4">
                  <c:v>0</c:v>
                </c:pt>
                <c:pt idx="5">
                  <c:v>66968.600000000006</c:v>
                </c:pt>
                <c:pt idx="6">
                  <c:v>114794.5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7-40A3-9AE4-1FC89E722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D"/>
              <a:t>Taux de realisation des objectifs par boutique (%) - AUCUNE boutique n'atteint sa cible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Tableau_de_Bord!$BO$30</c:f>
              <c:strCache>
                <c:ptCount val="1"/>
                <c:pt idx="0">
                  <c:v>Taux_Realisation_Moyen_Pct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Tableau_de_Bord!$BN$31:$BN$42</c:f>
              <c:strCache>
                <c:ptCount val="12"/>
                <c:pt idx="0">
                  <c:v>GongoTopFashion E-commerce</c:v>
                </c:pt>
                <c:pt idx="1">
                  <c:v>GongoTopFashion Kinshasa Limete</c:v>
                </c:pt>
                <c:pt idx="2">
                  <c:v>GongoTopFashion Kinshasa Masina</c:v>
                </c:pt>
                <c:pt idx="3">
                  <c:v>GongoTopFashion Bukavu Ibanda</c:v>
                </c:pt>
                <c:pt idx="4">
                  <c:v>GongoTopFashion Matadi Matadi</c:v>
                </c:pt>
                <c:pt idx="5">
                  <c:v>GongoTopFashion Kinshasa Ngaliema</c:v>
                </c:pt>
                <c:pt idx="6">
                  <c:v>GongoTopFashion Kolwezi Manika</c:v>
                </c:pt>
                <c:pt idx="7">
                  <c:v>GongoTopFashion Kinshasa Kintambo</c:v>
                </c:pt>
                <c:pt idx="8">
                  <c:v>GongoTopFashion Goma Goma</c:v>
                </c:pt>
                <c:pt idx="9">
                  <c:v>GongoTopFashion Mbuji-Mayi Dibindi</c:v>
                </c:pt>
                <c:pt idx="10">
                  <c:v>GongoTopFashion Lubumbashi Lubumbashi</c:v>
                </c:pt>
                <c:pt idx="11">
                  <c:v>GongoTopFashion Kinshasa Gombe</c:v>
                </c:pt>
              </c:strCache>
            </c:strRef>
          </c:cat>
          <c:val>
            <c:numRef>
              <c:f>Tableau_de_Bord!$BO$31:$BO$42</c:f>
              <c:numCache>
                <c:formatCode>General</c:formatCode>
                <c:ptCount val="12"/>
                <c:pt idx="0">
                  <c:v>30.364000000000001</c:v>
                </c:pt>
                <c:pt idx="1">
                  <c:v>11.548</c:v>
                </c:pt>
                <c:pt idx="2">
                  <c:v>7.8244999999999996</c:v>
                </c:pt>
                <c:pt idx="3">
                  <c:v>7.2755999999999998</c:v>
                </c:pt>
                <c:pt idx="4">
                  <c:v>7.27</c:v>
                </c:pt>
                <c:pt idx="5">
                  <c:v>7.24</c:v>
                </c:pt>
                <c:pt idx="6">
                  <c:v>6.9562999999999997</c:v>
                </c:pt>
                <c:pt idx="7">
                  <c:v>6.5960000000000001</c:v>
                </c:pt>
                <c:pt idx="8">
                  <c:v>6.556</c:v>
                </c:pt>
                <c:pt idx="9">
                  <c:v>6.3108000000000004</c:v>
                </c:pt>
                <c:pt idx="10">
                  <c:v>5.6790000000000003</c:v>
                </c:pt>
                <c:pt idx="11">
                  <c:v>3.9950000000000001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3-4CC9-9D0B-B3450B40A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1523775"/>
        <c:axId val="258532111"/>
      </c:barChart>
      <c:catAx>
        <c:axId val="191152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8532111"/>
        <c:crosses val="autoZero"/>
        <c:auto val="1"/>
        <c:lblAlgn val="ctr"/>
        <c:lblOffset val="100"/>
        <c:noMultiLvlLbl val="0"/>
      </c:catAx>
      <c:valAx>
        <c:axId val="25853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152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D"/>
              <a:t>Valeur de stock (USD) par statut - Surstock = 4.77M USD immobilises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Tableau_de_Bord!$BR$30</c:f>
              <c:strCache>
                <c:ptCount val="1"/>
                <c:pt idx="0">
                  <c:v>Valeur_Stock_USD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65-4DF6-ADEF-78F1807442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65-4DF6-ADEF-78F1807442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65-4DF6-ADEF-78F1807442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65-4DF6-ADEF-78F180744255}"/>
              </c:ext>
            </c:extLst>
          </c:dPt>
          <c:cat>
            <c:strRef>
              <c:f>Tableau_de_Bord!$BQ$31:$BQ$34</c:f>
              <c:strCache>
                <c:ptCount val="4"/>
                <c:pt idx="0">
                  <c:v>Normal</c:v>
                </c:pt>
                <c:pt idx="1">
                  <c:v>Surstock</c:v>
                </c:pt>
                <c:pt idx="2">
                  <c:v>Faible</c:v>
                </c:pt>
                <c:pt idx="3">
                  <c:v>Rupture</c:v>
                </c:pt>
              </c:strCache>
            </c:strRef>
          </c:cat>
          <c:val>
            <c:numRef>
              <c:f>Tableau_de_Bord!$BR$31:$BR$34</c:f>
              <c:numCache>
                <c:formatCode>General</c:formatCode>
                <c:ptCount val="4"/>
                <c:pt idx="0">
                  <c:v>3230910.13</c:v>
                </c:pt>
                <c:pt idx="1">
                  <c:v>4773793.59</c:v>
                </c:pt>
                <c:pt idx="2">
                  <c:v>15535.13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B-4890-887C-2E3915880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D"/>
              <a:t>Evolution du CA Realise 2021-2025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Tableau_de_Bord!$BW$30:$BW$34</c:f>
              <c:strCache>
                <c:ptCount val="5"/>
                <c:pt idx="0">
                  <c:v>Annee 2021</c:v>
                </c:pt>
                <c:pt idx="1">
                  <c:v>Annee 2022</c:v>
                </c:pt>
                <c:pt idx="2">
                  <c:v>Annee 2023</c:v>
                </c:pt>
                <c:pt idx="3">
                  <c:v>Annee 2024</c:v>
                </c:pt>
                <c:pt idx="4">
                  <c:v>Annee 2025</c:v>
                </c:pt>
              </c:strCache>
            </c:strRef>
          </c:cat>
          <c:val>
            <c:numRef>
              <c:f>Tableau_de_Bord!$BX$30:$BX$34</c:f>
              <c:numCache>
                <c:formatCode>@</c:formatCode>
                <c:ptCount val="5"/>
                <c:pt idx="0">
                  <c:v>228634.06</c:v>
                </c:pt>
                <c:pt idx="1">
                  <c:v>346303.93</c:v>
                </c:pt>
                <c:pt idx="2">
                  <c:v>492486.39</c:v>
                </c:pt>
                <c:pt idx="3">
                  <c:v>609230.78</c:v>
                </c:pt>
                <c:pt idx="4">
                  <c:v>709171.1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63-45AB-AF99-A51284A57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9810208"/>
        <c:axId val="997293936"/>
      </c:lineChart>
      <c:catAx>
        <c:axId val="106981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7293936"/>
        <c:crosses val="autoZero"/>
        <c:auto val="1"/>
        <c:lblAlgn val="ctr"/>
        <c:lblOffset val="100"/>
        <c:noMultiLvlLbl val="0"/>
      </c:catAx>
      <c:valAx>
        <c:axId val="9972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81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142240</xdr:colOff>
      <xdr:row>7</xdr:row>
      <xdr:rowOff>66040</xdr:rowOff>
    </xdr:from>
    <xdr:to>
      <xdr:col>9</xdr:col>
      <xdr:colOff>375920</xdr:colOff>
      <xdr:row>24</xdr:row>
      <xdr:rowOff>132080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A18C6BB-8F5C-509A-ABCE-1112BD53C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26</xdr:row>
      <xdr:rowOff>20320</xdr:rowOff>
    </xdr:from>
    <xdr:to>
      <xdr:col>4</xdr:col>
      <xdr:colOff>15240</xdr:colOff>
      <xdr:row>44</xdr:row>
      <xdr:rowOff>30480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347677D-3591-D9FE-48DE-F01C28F97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142240</xdr:colOff>
      <xdr:row>26</xdr:row>
      <xdr:rowOff>20320</xdr:rowOff>
    </xdr:from>
    <xdr:to>
      <xdr:col>9</xdr:col>
      <xdr:colOff>375920</xdr:colOff>
      <xdr:row>48</xdr:row>
      <xdr:rowOff>60960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F142C90-B1EA-3D87-5F78-778711092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49</xdr:row>
      <xdr:rowOff>5080</xdr:rowOff>
    </xdr:from>
    <xdr:to>
      <xdr:col>4</xdr:col>
      <xdr:colOff>15240</xdr:colOff>
      <xdr:row>67</xdr:row>
      <xdr:rowOff>15240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F06668B-0BAB-DA82-1C3D-139697A52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7</xdr:row>
      <xdr:rowOff>73660</xdr:rowOff>
    </xdr:from>
    <xdr:to>
      <xdr:col>4</xdr:col>
      <xdr:colOff>15240</xdr:colOff>
      <xdr:row>24</xdr:row>
      <xdr:rowOff>139700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2A709F7-D187-BF48-FC75-5DDB1C9E6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EB79-905C-444F-A7FB-91EF4737C29B}">
  <sheetPr>
    <tabColor rgb="FFFF0000"/>
  </sheetPr>
  <dimension ref="A1:BX100"/>
  <sheetViews>
    <sheetView workbookViewId="0"/>
  </sheetViews>
  <sheetFormatPr baseColWidth="10" defaultRowHeight="14.4" x14ac:dyDescent="0.3"/>
  <cols>
    <col min="1" max="6" width="20.77734375" customWidth="1"/>
  </cols>
  <sheetData>
    <row r="1" spans="1:16" ht="28.2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7.399999999999999" x14ac:dyDescent="0.3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6" x14ac:dyDescent="0.3">
      <c r="A4" s="1" t="s">
        <v>2</v>
      </c>
      <c r="B4" s="1" t="s">
        <v>4</v>
      </c>
      <c r="C4" s="1" t="s">
        <v>6</v>
      </c>
      <c r="D4" s="1" t="s">
        <v>7</v>
      </c>
      <c r="E4" s="1" t="s">
        <v>9</v>
      </c>
      <c r="F4" s="4" t="s">
        <v>11</v>
      </c>
    </row>
    <row r="5" spans="1:16" ht="21" x14ac:dyDescent="0.4">
      <c r="A5" s="2" t="s">
        <v>3</v>
      </c>
      <c r="B5" s="2" t="s">
        <v>5</v>
      </c>
      <c r="C5" s="3">
        <v>0.23599999999999999</v>
      </c>
      <c r="D5" s="2" t="s">
        <v>8</v>
      </c>
      <c r="E5" s="2" t="s">
        <v>10</v>
      </c>
      <c r="F5" s="5" t="s">
        <v>12</v>
      </c>
    </row>
    <row r="30" spans="1:76" ht="1.05" customHeight="1" x14ac:dyDescent="0.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O30" t="s">
        <v>23</v>
      </c>
      <c r="P30" t="s">
        <v>18</v>
      </c>
      <c r="Q30" t="s">
        <v>14</v>
      </c>
      <c r="R30" t="s">
        <v>15</v>
      </c>
      <c r="S30" t="s">
        <v>16</v>
      </c>
      <c r="T30" t="s">
        <v>24</v>
      </c>
      <c r="U30" t="s">
        <v>19</v>
      </c>
      <c r="V30" t="s">
        <v>21</v>
      </c>
      <c r="Y30" t="s">
        <v>31</v>
      </c>
      <c r="Z30" t="s">
        <v>32</v>
      </c>
      <c r="AA30" t="s">
        <v>33</v>
      </c>
      <c r="AB30" t="s">
        <v>34</v>
      </c>
      <c r="AC30" t="s">
        <v>35</v>
      </c>
      <c r="AD30" t="s">
        <v>36</v>
      </c>
      <c r="AI30" t="s">
        <v>44</v>
      </c>
      <c r="AJ30" t="s">
        <v>45</v>
      </c>
      <c r="AK30" t="s">
        <v>46</v>
      </c>
      <c r="AL30" t="s">
        <v>47</v>
      </c>
      <c r="AM30" t="s">
        <v>48</v>
      </c>
      <c r="AS30" t="s">
        <v>73</v>
      </c>
      <c r="AT30" t="s">
        <v>74</v>
      </c>
      <c r="AU30" t="s">
        <v>75</v>
      </c>
      <c r="AV30" t="s">
        <v>76</v>
      </c>
      <c r="BH30" t="s">
        <v>23</v>
      </c>
      <c r="BI30" t="s">
        <v>14</v>
      </c>
      <c r="BK30" t="s">
        <v>31</v>
      </c>
      <c r="BL30" t="s">
        <v>34</v>
      </c>
      <c r="BN30" t="s">
        <v>45</v>
      </c>
      <c r="BO30" t="s">
        <v>48</v>
      </c>
      <c r="BQ30" t="s">
        <v>73</v>
      </c>
      <c r="BR30" t="s">
        <v>76</v>
      </c>
      <c r="BW30" s="18" t="s">
        <v>176</v>
      </c>
      <c r="BX30" s="18">
        <v>228634.06</v>
      </c>
    </row>
    <row r="31" spans="1:76" ht="1.05" customHeight="1" x14ac:dyDescent="0.3">
      <c r="A31">
        <v>2021</v>
      </c>
      <c r="B31">
        <v>228634.06</v>
      </c>
      <c r="C31">
        <v>67165.119999999995</v>
      </c>
      <c r="D31">
        <v>55792.45</v>
      </c>
      <c r="E31">
        <v>29.3767</v>
      </c>
      <c r="F31">
        <v>1800</v>
      </c>
      <c r="G31">
        <v>127.0189</v>
      </c>
      <c r="H31">
        <v>6.7778</v>
      </c>
      <c r="I31">
        <v>4.0556000000000001</v>
      </c>
      <c r="O31" t="s">
        <v>25</v>
      </c>
      <c r="P31">
        <v>5883</v>
      </c>
      <c r="Q31">
        <v>914175.34</v>
      </c>
      <c r="R31">
        <v>263485.7</v>
      </c>
      <c r="S31">
        <v>239222.63</v>
      </c>
      <c r="T31">
        <v>26.168099999999999</v>
      </c>
      <c r="U31">
        <v>155.39269999999999</v>
      </c>
      <c r="V31">
        <v>3.9096000000000002</v>
      </c>
      <c r="Y31" t="s">
        <v>37</v>
      </c>
      <c r="Z31">
        <v>387</v>
      </c>
      <c r="AA31">
        <v>19.350000000000001</v>
      </c>
      <c r="AB31">
        <v>127881.78</v>
      </c>
      <c r="AC31">
        <v>5.3601000000000001</v>
      </c>
      <c r="AD31">
        <v>99.133200000000002</v>
      </c>
      <c r="AI31" t="s">
        <v>49</v>
      </c>
      <c r="AJ31" t="s">
        <v>50</v>
      </c>
      <c r="AK31">
        <v>4255200</v>
      </c>
      <c r="AL31">
        <v>1352127.04</v>
      </c>
      <c r="AM31">
        <v>30.364000000000001</v>
      </c>
      <c r="AS31" t="s">
        <v>77</v>
      </c>
      <c r="AT31">
        <v>4392</v>
      </c>
      <c r="AU31">
        <v>73.2</v>
      </c>
      <c r="AV31">
        <v>3230910.13</v>
      </c>
      <c r="BH31" t="s">
        <v>25</v>
      </c>
      <c r="BI31">
        <v>914175.34</v>
      </c>
      <c r="BK31" t="s">
        <v>37</v>
      </c>
      <c r="BL31">
        <v>127881.78</v>
      </c>
      <c r="BN31" t="s">
        <v>50</v>
      </c>
      <c r="BO31">
        <v>30.364000000000001</v>
      </c>
      <c r="BQ31" t="s">
        <v>77</v>
      </c>
      <c r="BR31">
        <v>3230910.13</v>
      </c>
      <c r="BW31" s="18" t="s">
        <v>177</v>
      </c>
      <c r="BX31" s="18">
        <v>346303.93</v>
      </c>
    </row>
    <row r="32" spans="1:76" ht="1.05" customHeight="1" x14ac:dyDescent="0.3">
      <c r="A32">
        <v>2022</v>
      </c>
      <c r="B32">
        <v>346303.93</v>
      </c>
      <c r="C32">
        <v>100716.04</v>
      </c>
      <c r="D32">
        <v>81741.3</v>
      </c>
      <c r="E32">
        <v>29.083100000000002</v>
      </c>
      <c r="F32">
        <v>2400</v>
      </c>
      <c r="G32">
        <v>144.29329999999999</v>
      </c>
      <c r="H32">
        <v>5.7916999999999996</v>
      </c>
      <c r="I32">
        <v>4.4166999999999996</v>
      </c>
      <c r="J32">
        <v>51.466500000000003</v>
      </c>
      <c r="O32" t="s">
        <v>26</v>
      </c>
      <c r="P32">
        <v>2263</v>
      </c>
      <c r="Q32">
        <v>361576.73</v>
      </c>
      <c r="R32">
        <v>103764.74</v>
      </c>
      <c r="S32">
        <v>77171.67</v>
      </c>
      <c r="T32">
        <v>21.3431</v>
      </c>
      <c r="U32">
        <v>159.77760000000001</v>
      </c>
      <c r="V32">
        <v>4.4188999999999998</v>
      </c>
      <c r="Y32" t="s">
        <v>38</v>
      </c>
      <c r="Z32">
        <v>356</v>
      </c>
      <c r="AA32">
        <v>17.8</v>
      </c>
      <c r="AB32">
        <v>231975.73</v>
      </c>
      <c r="AC32">
        <v>9.7231000000000005</v>
      </c>
      <c r="AD32">
        <v>716.77930000000003</v>
      </c>
      <c r="AI32" t="s">
        <v>51</v>
      </c>
      <c r="AJ32" t="s">
        <v>52</v>
      </c>
      <c r="AK32">
        <v>1276560</v>
      </c>
      <c r="AL32">
        <v>145896.42000000001</v>
      </c>
      <c r="AM32">
        <v>11.548</v>
      </c>
      <c r="AS32" t="s">
        <v>78</v>
      </c>
      <c r="AT32">
        <v>1392</v>
      </c>
      <c r="AU32">
        <v>23.2</v>
      </c>
      <c r="AV32">
        <v>4773793.59</v>
      </c>
      <c r="BH32" t="s">
        <v>26</v>
      </c>
      <c r="BI32">
        <v>361576.73</v>
      </c>
      <c r="BK32" t="s">
        <v>38</v>
      </c>
      <c r="BL32">
        <v>231975.73</v>
      </c>
      <c r="BN32" t="s">
        <v>52</v>
      </c>
      <c r="BO32">
        <v>11.548</v>
      </c>
      <c r="BQ32" t="s">
        <v>78</v>
      </c>
      <c r="BR32">
        <v>4773793.59</v>
      </c>
      <c r="BW32" s="18" t="s">
        <v>178</v>
      </c>
      <c r="BX32" s="18">
        <v>492486.39</v>
      </c>
    </row>
    <row r="33" spans="1:76" ht="1.05" customHeight="1" x14ac:dyDescent="0.3">
      <c r="A33">
        <v>2023</v>
      </c>
      <c r="B33">
        <v>492486.39</v>
      </c>
      <c r="C33">
        <v>140608.95000000001</v>
      </c>
      <c r="D33">
        <v>115691.22</v>
      </c>
      <c r="E33">
        <v>28.550799999999999</v>
      </c>
      <c r="F33">
        <v>3000</v>
      </c>
      <c r="G33">
        <v>164.16210000000001</v>
      </c>
      <c r="H33">
        <v>5.7332999999999998</v>
      </c>
      <c r="I33">
        <v>3.5667</v>
      </c>
      <c r="J33">
        <v>42.212200000000003</v>
      </c>
      <c r="O33" t="s">
        <v>27</v>
      </c>
      <c r="P33">
        <v>2143</v>
      </c>
      <c r="Q33">
        <v>334985.78000000003</v>
      </c>
      <c r="R33">
        <v>95736.18</v>
      </c>
      <c r="S33">
        <v>70127.83</v>
      </c>
      <c r="T33">
        <v>20.9346</v>
      </c>
      <c r="U33">
        <v>156.31630000000001</v>
      </c>
      <c r="V33">
        <v>4.0130999999999997</v>
      </c>
      <c r="Y33" t="s">
        <v>39</v>
      </c>
      <c r="Z33">
        <v>350</v>
      </c>
      <c r="AA33">
        <v>17.5</v>
      </c>
      <c r="AB33">
        <v>669692.86</v>
      </c>
      <c r="AC33">
        <v>28.069600000000001</v>
      </c>
      <c r="AD33">
        <v>2678.7714999999998</v>
      </c>
      <c r="AI33" t="s">
        <v>53</v>
      </c>
      <c r="AJ33" t="s">
        <v>54</v>
      </c>
      <c r="AK33">
        <v>1276560</v>
      </c>
      <c r="AL33">
        <v>98250.01</v>
      </c>
      <c r="AM33">
        <v>7.8244999999999996</v>
      </c>
      <c r="AS33" t="s">
        <v>79</v>
      </c>
      <c r="AT33">
        <v>129</v>
      </c>
      <c r="AU33">
        <v>2.15</v>
      </c>
      <c r="AV33">
        <v>15535.13</v>
      </c>
      <c r="BH33" t="s">
        <v>27</v>
      </c>
      <c r="BI33">
        <v>334985.78000000003</v>
      </c>
      <c r="BK33" t="s">
        <v>39</v>
      </c>
      <c r="BL33">
        <v>669692.86</v>
      </c>
      <c r="BN33" t="s">
        <v>54</v>
      </c>
      <c r="BO33">
        <v>7.8244999999999996</v>
      </c>
      <c r="BQ33" t="s">
        <v>79</v>
      </c>
      <c r="BR33">
        <v>15535.13</v>
      </c>
      <c r="BW33" s="18" t="s">
        <v>179</v>
      </c>
      <c r="BX33" s="18">
        <v>609230.78</v>
      </c>
    </row>
    <row r="34" spans="1:76" ht="1.05" customHeight="1" x14ac:dyDescent="0.3">
      <c r="A34">
        <v>2024</v>
      </c>
      <c r="B34">
        <v>609230.78</v>
      </c>
      <c r="C34">
        <v>174464.13</v>
      </c>
      <c r="D34">
        <v>146503.67000000001</v>
      </c>
      <c r="E34">
        <v>28.636800000000001</v>
      </c>
      <c r="F34">
        <v>3600</v>
      </c>
      <c r="G34">
        <v>169.23079999999999</v>
      </c>
      <c r="H34">
        <v>6.0556000000000001</v>
      </c>
      <c r="I34">
        <v>3.4167000000000001</v>
      </c>
      <c r="J34">
        <v>23.705100000000002</v>
      </c>
      <c r="O34" t="s">
        <v>28</v>
      </c>
      <c r="P34">
        <v>2005</v>
      </c>
      <c r="Q34">
        <v>334907.7</v>
      </c>
      <c r="R34">
        <v>95893.32</v>
      </c>
      <c r="S34">
        <v>73025.100000000006</v>
      </c>
      <c r="T34">
        <v>21.804500000000001</v>
      </c>
      <c r="U34">
        <v>167.03630000000001</v>
      </c>
      <c r="V34">
        <v>4.2393999999999998</v>
      </c>
      <c r="Y34" t="s">
        <v>40</v>
      </c>
      <c r="Z34">
        <v>341</v>
      </c>
      <c r="AA34">
        <v>17.05</v>
      </c>
      <c r="AB34">
        <v>1174512.79</v>
      </c>
      <c r="AC34">
        <v>49.2288</v>
      </c>
      <c r="AD34">
        <v>6199.7743</v>
      </c>
      <c r="AI34" t="s">
        <v>55</v>
      </c>
      <c r="AJ34" t="s">
        <v>56</v>
      </c>
      <c r="AK34">
        <v>1296240</v>
      </c>
      <c r="AL34">
        <v>93550.29</v>
      </c>
      <c r="AM34">
        <v>7.2755999999999998</v>
      </c>
      <c r="AS34" t="s">
        <v>80</v>
      </c>
      <c r="AT34">
        <v>87</v>
      </c>
      <c r="AU34">
        <v>1.45</v>
      </c>
      <c r="AV34">
        <v>0</v>
      </c>
      <c r="BH34" t="s">
        <v>28</v>
      </c>
      <c r="BI34">
        <v>334907.7</v>
      </c>
      <c r="BK34" t="s">
        <v>40</v>
      </c>
      <c r="BL34">
        <v>1174512.79</v>
      </c>
      <c r="BN34" t="s">
        <v>56</v>
      </c>
      <c r="BO34">
        <v>7.2755999999999998</v>
      </c>
      <c r="BQ34" t="s">
        <v>80</v>
      </c>
      <c r="BR34">
        <v>0</v>
      </c>
      <c r="BW34" s="18" t="s">
        <v>180</v>
      </c>
      <c r="BX34" s="18">
        <v>709171.1</v>
      </c>
    </row>
    <row r="35" spans="1:76" ht="1.05" customHeight="1" x14ac:dyDescent="0.3">
      <c r="A35">
        <v>2025</v>
      </c>
      <c r="B35">
        <v>709171.1</v>
      </c>
      <c r="C35">
        <v>203095.75</v>
      </c>
      <c r="D35">
        <v>162466.29</v>
      </c>
      <c r="E35">
        <v>28.638500000000001</v>
      </c>
      <c r="F35">
        <v>4200</v>
      </c>
      <c r="G35">
        <v>168.8503</v>
      </c>
      <c r="H35">
        <v>6.6666999999999996</v>
      </c>
      <c r="I35">
        <v>4.4523999999999999</v>
      </c>
      <c r="J35">
        <v>16.404299999999999</v>
      </c>
      <c r="O35" t="s">
        <v>29</v>
      </c>
      <c r="P35">
        <v>1925</v>
      </c>
      <c r="Q35">
        <v>320656.83</v>
      </c>
      <c r="R35">
        <v>92437.7</v>
      </c>
      <c r="S35">
        <v>70880.03</v>
      </c>
      <c r="T35">
        <v>22.104600000000001</v>
      </c>
      <c r="U35">
        <v>166.57499999999999</v>
      </c>
      <c r="V35">
        <v>3.5325000000000002</v>
      </c>
      <c r="Y35" t="s">
        <v>41</v>
      </c>
      <c r="Z35">
        <v>257</v>
      </c>
      <c r="AA35">
        <v>12.85</v>
      </c>
      <c r="AB35">
        <v>0</v>
      </c>
      <c r="AC35">
        <v>0</v>
      </c>
      <c r="AD35">
        <v>0</v>
      </c>
      <c r="AI35" t="s">
        <v>57</v>
      </c>
      <c r="AJ35" t="s">
        <v>58</v>
      </c>
      <c r="AK35">
        <v>1296240</v>
      </c>
      <c r="AL35">
        <v>93722.28</v>
      </c>
      <c r="AM35">
        <v>7.27</v>
      </c>
      <c r="BH35" t="s">
        <v>29</v>
      </c>
      <c r="BI35">
        <v>320656.83</v>
      </c>
      <c r="BK35" t="s">
        <v>41</v>
      </c>
      <c r="BL35">
        <v>0</v>
      </c>
      <c r="BN35" t="s">
        <v>58</v>
      </c>
      <c r="BO35">
        <v>7.27</v>
      </c>
    </row>
    <row r="36" spans="1:76" ht="1.05" customHeight="1" x14ac:dyDescent="0.3">
      <c r="O36" t="s">
        <v>30</v>
      </c>
      <c r="P36">
        <v>781</v>
      </c>
      <c r="Q36">
        <v>119523.88</v>
      </c>
      <c r="R36">
        <v>34732.35</v>
      </c>
      <c r="S36">
        <v>31767.67</v>
      </c>
      <c r="T36">
        <v>26.578499999999998</v>
      </c>
      <c r="U36">
        <v>153.0395</v>
      </c>
      <c r="V36">
        <v>3.4571000000000001</v>
      </c>
      <c r="Y36" t="s">
        <v>42</v>
      </c>
      <c r="Z36">
        <v>170</v>
      </c>
      <c r="AA36">
        <v>8.5</v>
      </c>
      <c r="AB36">
        <v>66968.600000000006</v>
      </c>
      <c r="AC36">
        <v>2.8069000000000002</v>
      </c>
      <c r="AD36">
        <v>512.11320000000001</v>
      </c>
      <c r="AI36" t="s">
        <v>59</v>
      </c>
      <c r="AJ36" t="s">
        <v>60</v>
      </c>
      <c r="AK36">
        <v>1276560</v>
      </c>
      <c r="AL36">
        <v>91560.5</v>
      </c>
      <c r="AM36">
        <v>7.24</v>
      </c>
      <c r="BH36" t="s">
        <v>30</v>
      </c>
      <c r="BI36">
        <v>119523.88</v>
      </c>
      <c r="BK36" t="s">
        <v>42</v>
      </c>
      <c r="BL36">
        <v>66968.600000000006</v>
      </c>
      <c r="BN36" t="s">
        <v>60</v>
      </c>
      <c r="BO36">
        <v>7.24</v>
      </c>
    </row>
    <row r="37" spans="1:76" ht="1.05" customHeight="1" x14ac:dyDescent="0.3">
      <c r="Y37" t="s">
        <v>43</v>
      </c>
      <c r="Z37">
        <v>139</v>
      </c>
      <c r="AA37">
        <v>6.95</v>
      </c>
      <c r="AB37">
        <v>114794.5</v>
      </c>
      <c r="AC37">
        <v>4.8114999999999997</v>
      </c>
      <c r="AD37">
        <v>578.10180000000003</v>
      </c>
      <c r="AI37" t="s">
        <v>61</v>
      </c>
      <c r="AJ37" t="s">
        <v>62</v>
      </c>
      <c r="AK37">
        <v>694320</v>
      </c>
      <c r="AL37">
        <v>48288.89</v>
      </c>
      <c r="AM37">
        <v>6.9562999999999997</v>
      </c>
      <c r="BK37" t="s">
        <v>43</v>
      </c>
      <c r="BL37">
        <v>114794.5</v>
      </c>
      <c r="BN37" t="s">
        <v>62</v>
      </c>
      <c r="BO37">
        <v>6.9562999999999997</v>
      </c>
    </row>
    <row r="38" spans="1:76" ht="1.05" customHeight="1" x14ac:dyDescent="0.3">
      <c r="AI38" t="s">
        <v>63</v>
      </c>
      <c r="AJ38" t="s">
        <v>64</v>
      </c>
      <c r="AK38">
        <v>1276560</v>
      </c>
      <c r="AL38">
        <v>84377.12</v>
      </c>
      <c r="AM38">
        <v>6.5960000000000001</v>
      </c>
      <c r="BN38" t="s">
        <v>64</v>
      </c>
      <c r="BO38">
        <v>6.5960000000000001</v>
      </c>
    </row>
    <row r="39" spans="1:76" ht="1.05" customHeight="1" x14ac:dyDescent="0.3">
      <c r="AI39" t="s">
        <v>65</v>
      </c>
      <c r="AJ39" t="s">
        <v>66</v>
      </c>
      <c r="AK39">
        <v>1560240</v>
      </c>
      <c r="AL39">
        <v>100927.46</v>
      </c>
      <c r="AM39">
        <v>6.556</v>
      </c>
      <c r="BN39" t="s">
        <v>66</v>
      </c>
      <c r="BO39">
        <v>6.556</v>
      </c>
    </row>
    <row r="40" spans="1:76" ht="1.05" customHeight="1" x14ac:dyDescent="0.3">
      <c r="AI40" t="s">
        <v>67</v>
      </c>
      <c r="AJ40" t="s">
        <v>68</v>
      </c>
      <c r="AK40">
        <v>1008480</v>
      </c>
      <c r="AL40">
        <v>63806.49</v>
      </c>
      <c r="AM40">
        <v>6.3108000000000004</v>
      </c>
      <c r="BN40" t="s">
        <v>68</v>
      </c>
      <c r="BO40">
        <v>6.3108000000000004</v>
      </c>
    </row>
    <row r="41" spans="1:76" ht="1.05" customHeight="1" x14ac:dyDescent="0.3">
      <c r="AI41" t="s">
        <v>69</v>
      </c>
      <c r="AJ41" t="s">
        <v>70</v>
      </c>
      <c r="AK41">
        <v>1560240</v>
      </c>
      <c r="AL41">
        <v>87571.15</v>
      </c>
      <c r="AM41">
        <v>5.6790000000000003</v>
      </c>
      <c r="BN41" t="s">
        <v>70</v>
      </c>
      <c r="BO41">
        <v>5.6790000000000003</v>
      </c>
    </row>
    <row r="42" spans="1:76" ht="1.05" customHeight="1" x14ac:dyDescent="0.3">
      <c r="AI42" t="s">
        <v>71</v>
      </c>
      <c r="AJ42" t="s">
        <v>72</v>
      </c>
      <c r="AK42">
        <v>3191400</v>
      </c>
      <c r="AL42">
        <v>125748.61</v>
      </c>
      <c r="AM42">
        <v>3.9950000000000001</v>
      </c>
      <c r="BN42" t="s">
        <v>72</v>
      </c>
      <c r="BO42">
        <v>3.9950000000000001</v>
      </c>
    </row>
    <row r="43" spans="1:76" ht="1.05" customHeight="1" x14ac:dyDescent="0.3"/>
    <row r="44" spans="1:76" ht="1.05" customHeight="1" x14ac:dyDescent="0.3"/>
    <row r="45" spans="1:76" ht="1.05" customHeight="1" x14ac:dyDescent="0.3"/>
    <row r="46" spans="1:76" ht="1.05" customHeight="1" x14ac:dyDescent="0.3"/>
    <row r="47" spans="1:76" ht="1.05" customHeight="1" x14ac:dyDescent="0.3"/>
    <row r="48" spans="1:76" ht="1.05" customHeight="1" x14ac:dyDescent="0.3"/>
    <row r="49" ht="1.05" customHeight="1" x14ac:dyDescent="0.3"/>
    <row r="50" ht="1.05" customHeight="1" x14ac:dyDescent="0.3"/>
    <row r="51" ht="1.05" customHeight="1" x14ac:dyDescent="0.3"/>
    <row r="52" ht="1.05" customHeight="1" x14ac:dyDescent="0.3"/>
    <row r="53" ht="1.05" customHeight="1" x14ac:dyDescent="0.3"/>
    <row r="54" ht="1.05" customHeight="1" x14ac:dyDescent="0.3"/>
    <row r="55" ht="1.05" customHeight="1" x14ac:dyDescent="0.3"/>
    <row r="56" ht="1.05" customHeight="1" x14ac:dyDescent="0.3"/>
    <row r="57" ht="1.05" customHeight="1" x14ac:dyDescent="0.3"/>
    <row r="58" ht="1.05" customHeight="1" x14ac:dyDescent="0.3"/>
    <row r="59" ht="1.05" customHeight="1" x14ac:dyDescent="0.3"/>
    <row r="60" ht="1.05" customHeight="1" x14ac:dyDescent="0.3"/>
    <row r="61" ht="1.05" customHeight="1" x14ac:dyDescent="0.3"/>
    <row r="62" ht="1.05" customHeight="1" x14ac:dyDescent="0.3"/>
    <row r="63" ht="1.05" customHeight="1" x14ac:dyDescent="0.3"/>
    <row r="64" ht="1.05" customHeight="1" x14ac:dyDescent="0.3"/>
    <row r="65" ht="1.05" customHeight="1" x14ac:dyDescent="0.3"/>
    <row r="66" ht="1.05" customHeight="1" x14ac:dyDescent="0.3"/>
    <row r="67" ht="1.05" customHeight="1" x14ac:dyDescent="0.3"/>
    <row r="68" ht="1.05" customHeight="1" x14ac:dyDescent="0.3"/>
    <row r="69" ht="1.05" customHeight="1" x14ac:dyDescent="0.3"/>
    <row r="70" ht="1.05" customHeight="1" x14ac:dyDescent="0.3"/>
    <row r="71" ht="1.05" customHeight="1" x14ac:dyDescent="0.3"/>
    <row r="72" ht="1.05" customHeight="1" x14ac:dyDescent="0.3"/>
    <row r="73" ht="1.05" customHeight="1" x14ac:dyDescent="0.3"/>
    <row r="74" ht="1.05" customHeight="1" x14ac:dyDescent="0.3"/>
    <row r="75" ht="1.05" customHeight="1" x14ac:dyDescent="0.3"/>
    <row r="76" ht="1.05" customHeight="1" x14ac:dyDescent="0.3"/>
    <row r="77" ht="1.05" customHeight="1" x14ac:dyDescent="0.3"/>
    <row r="78" ht="1.05" customHeight="1" x14ac:dyDescent="0.3"/>
    <row r="79" ht="1.05" customHeight="1" x14ac:dyDescent="0.3"/>
    <row r="80" ht="1.05" customHeight="1" x14ac:dyDescent="0.3"/>
    <row r="81" ht="1.05" customHeight="1" x14ac:dyDescent="0.3"/>
    <row r="82" ht="1.05" customHeight="1" x14ac:dyDescent="0.3"/>
    <row r="83" ht="1.05" customHeight="1" x14ac:dyDescent="0.3"/>
    <row r="84" ht="1.05" customHeight="1" x14ac:dyDescent="0.3"/>
    <row r="85" ht="1.05" customHeight="1" x14ac:dyDescent="0.3"/>
    <row r="86" ht="1.05" customHeight="1" x14ac:dyDescent="0.3"/>
    <row r="87" ht="1.05" customHeight="1" x14ac:dyDescent="0.3"/>
    <row r="88" ht="1.05" customHeight="1" x14ac:dyDescent="0.3"/>
    <row r="89" ht="1.05" customHeight="1" x14ac:dyDescent="0.3"/>
    <row r="90" ht="1.05" customHeight="1" x14ac:dyDescent="0.3"/>
    <row r="91" ht="1.05" customHeight="1" x14ac:dyDescent="0.3"/>
    <row r="92" ht="1.05" customHeight="1" x14ac:dyDescent="0.3"/>
    <row r="93" ht="1.05" customHeight="1" x14ac:dyDescent="0.3"/>
    <row r="94" ht="1.05" customHeight="1" x14ac:dyDescent="0.3"/>
    <row r="95" ht="1.05" customHeight="1" x14ac:dyDescent="0.3"/>
    <row r="96" ht="1.05" customHeight="1" x14ac:dyDescent="0.3"/>
    <row r="97" ht="1.05" customHeight="1" x14ac:dyDescent="0.3"/>
    <row r="98" ht="1.05" customHeight="1" x14ac:dyDescent="0.3"/>
    <row r="99" ht="1.05" customHeight="1" x14ac:dyDescent="0.3"/>
    <row r="100" ht="1.0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D40F-74F1-4DD7-8C89-4F6FDA1BCE6B}">
  <dimension ref="A1:B19"/>
  <sheetViews>
    <sheetView workbookViewId="0"/>
  </sheetViews>
  <sheetFormatPr baseColWidth="10" defaultRowHeight="14.4" x14ac:dyDescent="0.3"/>
  <cols>
    <col min="1" max="1" width="50.77734375" customWidth="1"/>
    <col min="2" max="2" width="45.77734375" customWidth="1"/>
  </cols>
  <sheetData>
    <row r="1" spans="1:2" ht="17.399999999999999" x14ac:dyDescent="0.3">
      <c r="A1" s="9" t="s">
        <v>151</v>
      </c>
      <c r="B1" s="7"/>
    </row>
    <row r="2" spans="1:2" x14ac:dyDescent="0.3">
      <c r="A2" s="7"/>
      <c r="B2" s="7"/>
    </row>
    <row r="3" spans="1:2" x14ac:dyDescent="0.3">
      <c r="A3" s="15" t="s">
        <v>152</v>
      </c>
      <c r="B3" s="15" t="s">
        <v>153</v>
      </c>
    </row>
    <row r="4" spans="1:2" x14ac:dyDescent="0.3">
      <c r="A4" s="17" t="s">
        <v>154</v>
      </c>
      <c r="B4" s="7">
        <v>2385826.2599999998</v>
      </c>
    </row>
    <row r="5" spans="1:2" x14ac:dyDescent="0.3">
      <c r="A5" s="17" t="s">
        <v>155</v>
      </c>
      <c r="B5" s="7">
        <v>686049.99</v>
      </c>
    </row>
    <row r="6" spans="1:2" x14ac:dyDescent="0.3">
      <c r="A6" s="17" t="s">
        <v>156</v>
      </c>
      <c r="B6" s="16">
        <v>0.28760000000000002</v>
      </c>
    </row>
    <row r="7" spans="1:2" x14ac:dyDescent="0.3">
      <c r="A7" s="17" t="s">
        <v>157</v>
      </c>
      <c r="B7" s="7">
        <v>562194.93000000005</v>
      </c>
    </row>
    <row r="8" spans="1:2" x14ac:dyDescent="0.3">
      <c r="A8" s="17" t="s">
        <v>158</v>
      </c>
      <c r="B8" s="16">
        <v>0.2356</v>
      </c>
    </row>
    <row r="9" spans="1:2" x14ac:dyDescent="0.3">
      <c r="A9" s="17" t="s">
        <v>159</v>
      </c>
      <c r="B9" s="7" t="s">
        <v>160</v>
      </c>
    </row>
    <row r="10" spans="1:2" x14ac:dyDescent="0.3">
      <c r="A10" s="17" t="s">
        <v>161</v>
      </c>
      <c r="B10" s="16">
        <v>0.16400000000000001</v>
      </c>
    </row>
    <row r="11" spans="1:2" x14ac:dyDescent="0.3">
      <c r="A11" s="17" t="s">
        <v>162</v>
      </c>
      <c r="B11" s="7">
        <v>2000</v>
      </c>
    </row>
    <row r="12" spans="1:2" x14ac:dyDescent="0.3">
      <c r="A12" s="17" t="s">
        <v>163</v>
      </c>
      <c r="B12" s="7" t="s">
        <v>164</v>
      </c>
    </row>
    <row r="13" spans="1:2" x14ac:dyDescent="0.3">
      <c r="A13" s="17" t="s">
        <v>165</v>
      </c>
      <c r="B13" s="7">
        <v>15000</v>
      </c>
    </row>
    <row r="14" spans="1:2" x14ac:dyDescent="0.3">
      <c r="A14" s="17" t="s">
        <v>166</v>
      </c>
      <c r="B14" s="7">
        <v>11</v>
      </c>
    </row>
    <row r="15" spans="1:2" x14ac:dyDescent="0.3">
      <c r="A15" s="17" t="s">
        <v>167</v>
      </c>
      <c r="B15" s="7" t="s">
        <v>168</v>
      </c>
    </row>
    <row r="16" spans="1:2" x14ac:dyDescent="0.3">
      <c r="A16" s="17" t="s">
        <v>169</v>
      </c>
      <c r="B16" s="7" t="s">
        <v>170</v>
      </c>
    </row>
    <row r="17" spans="1:2" x14ac:dyDescent="0.3">
      <c r="A17" s="17" t="s">
        <v>171</v>
      </c>
      <c r="B17" s="7" t="s">
        <v>172</v>
      </c>
    </row>
    <row r="18" spans="1:2" x14ac:dyDescent="0.3">
      <c r="A18" s="17" t="s">
        <v>173</v>
      </c>
      <c r="B18" s="16">
        <v>0.44400000000000001</v>
      </c>
    </row>
    <row r="19" spans="1:2" x14ac:dyDescent="0.3">
      <c r="A19" s="17" t="s">
        <v>174</v>
      </c>
      <c r="B19" s="7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D277-14D6-4745-9887-1432D75F4AE9}">
  <dimension ref="A1:F15"/>
  <sheetViews>
    <sheetView tabSelected="1" workbookViewId="0"/>
  </sheetViews>
  <sheetFormatPr baseColWidth="10" defaultRowHeight="14.4" x14ac:dyDescent="0.3"/>
  <cols>
    <col min="1" max="1" width="12.77734375" customWidth="1"/>
    <col min="2" max="2" width="28.77734375" customWidth="1"/>
    <col min="3" max="3" width="55.77734375" customWidth="1"/>
    <col min="4" max="4" width="45.77734375" customWidth="1"/>
    <col min="5" max="6" width="55.77734375" customWidth="1"/>
  </cols>
  <sheetData>
    <row r="1" spans="1:6" ht="17.399999999999999" x14ac:dyDescent="0.3">
      <c r="A1" s="9" t="s">
        <v>81</v>
      </c>
      <c r="B1" s="7"/>
      <c r="C1" s="7"/>
      <c r="D1" s="7"/>
      <c r="E1" s="7"/>
      <c r="F1" s="7"/>
    </row>
    <row r="2" spans="1:6" x14ac:dyDescent="0.3">
      <c r="A2" s="7"/>
      <c r="B2" s="7"/>
      <c r="C2" s="7"/>
      <c r="D2" s="7"/>
      <c r="E2" s="7"/>
      <c r="F2" s="7"/>
    </row>
    <row r="3" spans="1:6" x14ac:dyDescent="0.3">
      <c r="A3" s="10" t="s">
        <v>82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</row>
    <row r="4" spans="1:6" ht="60" customHeight="1" x14ac:dyDescent="0.3">
      <c r="A4" s="11" t="s">
        <v>88</v>
      </c>
      <c r="B4" s="12" t="s">
        <v>89</v>
      </c>
      <c r="C4" s="12" t="s">
        <v>90</v>
      </c>
      <c r="D4" s="12" t="s">
        <v>91</v>
      </c>
      <c r="E4" s="12" t="s">
        <v>92</v>
      </c>
      <c r="F4" s="12" t="s">
        <v>93</v>
      </c>
    </row>
    <row r="5" spans="1:6" ht="60" customHeight="1" x14ac:dyDescent="0.3">
      <c r="A5" s="11" t="s">
        <v>88</v>
      </c>
      <c r="B5" s="12" t="s">
        <v>94</v>
      </c>
      <c r="C5" s="12" t="s">
        <v>95</v>
      </c>
      <c r="D5" s="12" t="s">
        <v>96</v>
      </c>
      <c r="E5" s="12" t="s">
        <v>97</v>
      </c>
      <c r="F5" s="12" t="s">
        <v>98</v>
      </c>
    </row>
    <row r="6" spans="1:6" ht="60" customHeight="1" x14ac:dyDescent="0.3">
      <c r="A6" s="11" t="s">
        <v>88</v>
      </c>
      <c r="B6" s="12" t="s">
        <v>99</v>
      </c>
      <c r="C6" s="12" t="s">
        <v>100</v>
      </c>
      <c r="D6" s="12" t="s">
        <v>101</v>
      </c>
      <c r="E6" s="12" t="s">
        <v>102</v>
      </c>
      <c r="F6" s="12" t="s">
        <v>103</v>
      </c>
    </row>
    <row r="7" spans="1:6" ht="60" customHeight="1" x14ac:dyDescent="0.3">
      <c r="A7" s="11" t="s">
        <v>88</v>
      </c>
      <c r="B7" s="12" t="s">
        <v>104</v>
      </c>
      <c r="C7" s="12" t="s">
        <v>105</v>
      </c>
      <c r="D7" s="12" t="s">
        <v>106</v>
      </c>
      <c r="E7" s="12" t="s">
        <v>107</v>
      </c>
      <c r="F7" s="12" t="s">
        <v>108</v>
      </c>
    </row>
    <row r="8" spans="1:6" ht="60" customHeight="1" x14ac:dyDescent="0.3">
      <c r="A8" s="13" t="s">
        <v>109</v>
      </c>
      <c r="B8" s="12" t="s">
        <v>110</v>
      </c>
      <c r="C8" s="12" t="s">
        <v>111</v>
      </c>
      <c r="D8" s="12" t="s">
        <v>112</v>
      </c>
      <c r="E8" s="12" t="s">
        <v>113</v>
      </c>
      <c r="F8" s="12" t="s">
        <v>114</v>
      </c>
    </row>
    <row r="9" spans="1:6" ht="60" customHeight="1" x14ac:dyDescent="0.3">
      <c r="A9" s="13" t="s">
        <v>109</v>
      </c>
      <c r="B9" s="12" t="s">
        <v>115</v>
      </c>
      <c r="C9" s="12" t="s">
        <v>116</v>
      </c>
      <c r="D9" s="12" t="s">
        <v>117</v>
      </c>
      <c r="E9" s="12" t="s">
        <v>118</v>
      </c>
      <c r="F9" s="12" t="s">
        <v>119</v>
      </c>
    </row>
    <row r="10" spans="1:6" ht="60" customHeight="1" x14ac:dyDescent="0.3">
      <c r="A10" s="13" t="s">
        <v>109</v>
      </c>
      <c r="B10" s="12" t="s">
        <v>120</v>
      </c>
      <c r="C10" s="12" t="s">
        <v>121</v>
      </c>
      <c r="D10" s="12" t="s">
        <v>122</v>
      </c>
      <c r="E10" s="12" t="s">
        <v>123</v>
      </c>
      <c r="F10" s="12" t="s">
        <v>124</v>
      </c>
    </row>
    <row r="11" spans="1:6" ht="60" customHeight="1" x14ac:dyDescent="0.3">
      <c r="A11" s="13" t="s">
        <v>109</v>
      </c>
      <c r="B11" s="12" t="s">
        <v>125</v>
      </c>
      <c r="C11" s="12" t="s">
        <v>126</v>
      </c>
      <c r="D11" s="12" t="s">
        <v>127</v>
      </c>
      <c r="E11" s="12" t="s">
        <v>128</v>
      </c>
      <c r="F11" s="12" t="s">
        <v>129</v>
      </c>
    </row>
    <row r="12" spans="1:6" ht="60" customHeight="1" x14ac:dyDescent="0.3">
      <c r="A12" s="14" t="s">
        <v>130</v>
      </c>
      <c r="B12" s="12" t="s">
        <v>131</v>
      </c>
      <c r="C12" s="12" t="s">
        <v>132</v>
      </c>
      <c r="D12" s="12" t="s">
        <v>133</v>
      </c>
      <c r="E12" s="12" t="s">
        <v>134</v>
      </c>
      <c r="F12" s="12" t="s">
        <v>135</v>
      </c>
    </row>
    <row r="13" spans="1:6" ht="60" customHeight="1" x14ac:dyDescent="0.3">
      <c r="A13" s="14" t="s">
        <v>130</v>
      </c>
      <c r="B13" s="12" t="s">
        <v>136</v>
      </c>
      <c r="C13" s="12" t="s">
        <v>137</v>
      </c>
      <c r="D13" s="12" t="s">
        <v>138</v>
      </c>
      <c r="E13" s="12" t="s">
        <v>139</v>
      </c>
      <c r="F13" s="12" t="s">
        <v>140</v>
      </c>
    </row>
    <row r="14" spans="1:6" ht="60" customHeight="1" x14ac:dyDescent="0.3">
      <c r="A14" s="14" t="s">
        <v>130</v>
      </c>
      <c r="B14" s="12" t="s">
        <v>141</v>
      </c>
      <c r="C14" s="12" t="s">
        <v>142</v>
      </c>
      <c r="D14" s="12" t="s">
        <v>143</v>
      </c>
      <c r="E14" s="12" t="s">
        <v>144</v>
      </c>
      <c r="F14" s="12" t="s">
        <v>145</v>
      </c>
    </row>
    <row r="15" spans="1:6" ht="60" customHeight="1" x14ac:dyDescent="0.3">
      <c r="A15" s="14" t="s">
        <v>130</v>
      </c>
      <c r="B15" s="12" t="s">
        <v>146</v>
      </c>
      <c r="C15" s="12" t="s">
        <v>147</v>
      </c>
      <c r="D15" s="12" t="s">
        <v>148</v>
      </c>
      <c r="E15" s="12" t="s">
        <v>149</v>
      </c>
      <c r="F15" s="12" t="s">
        <v>150</v>
      </c>
    </row>
  </sheetData>
  <autoFilter ref="A3:F3" xr:uid="{2B79D277-14D6-4745-9887-1432D75F4A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Tableau_de_Bord</vt:lpstr>
      <vt:lpstr>Resume_Executif</vt:lpstr>
      <vt:lpstr>Recommandations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Buzera</dc:creator>
  <cp:lastModifiedBy>Lucien Buzera</cp:lastModifiedBy>
  <dcterms:created xsi:type="dcterms:W3CDTF">2026-09-05T15:14:02Z</dcterms:created>
  <dcterms:modified xsi:type="dcterms:W3CDTF">2026-09-05T15:16:10Z</dcterms:modified>
</cp:coreProperties>
</file>